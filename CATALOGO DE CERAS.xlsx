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20" tabRatio="500"/>
  </bookViews>
  <sheets>
    <sheet name="Precios ceras v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<sst xmlns="http://schemas.openxmlformats.org/spreadsheetml/2006/main" count="46" uniqueCount="28">
  <si>
    <t>PRODUCTOS</t>
  </si>
  <si>
    <t>Producto</t>
  </si>
  <si>
    <t>Costo
unitario</t>
  </si>
  <si>
    <t>1 UNIDAD</t>
  </si>
  <si>
    <t>6 UNIDADES</t>
  </si>
  <si>
    <t>12 UNIDADES</t>
  </si>
  <si>
    <t>24 UNIDADES</t>
  </si>
  <si>
    <t>Precio venta
unit. (IVA incl.)</t>
  </si>
  <si>
    <t>Costo
total</t>
  </si>
  <si>
    <t>Venta
total</t>
  </si>
  <si>
    <t>IVA (19%)
total</t>
  </si>
  <si>
    <t>Ganancia
total</t>
  </si>
  <si>
    <t>Markup
%</t>
  </si>
  <si>
    <t>Cera Aqua Wax con Brillo — Orange</t>
  </si>
  <si>
    <t>Cera Cream Wax — Fiber Effect</t>
  </si>
  <si>
    <t>Cera Matte Pomade — Green</t>
  </si>
  <si>
    <t>Cera Matte Wax — Brown</t>
  </si>
  <si>
    <t>Cera Deluxe Matte — Pasta Fuchsia</t>
  </si>
  <si>
    <t>Polvo de Textura '09 Styling Powder</t>
  </si>
  <si>
    <t>Aceite de barba</t>
  </si>
  <si>
    <t xml:space="preserve">Curl Cream </t>
  </si>
  <si>
    <t>Cera Deluxe Matte Wax Peony</t>
  </si>
  <si>
    <t>Cera Aqua Wax con Brillo — Red</t>
  </si>
  <si>
    <t>Cera Spider Wax con Brillo — Purple</t>
  </si>
  <si>
    <t>Cera Aqua Wax con Brillo — Blue</t>
  </si>
  <si>
    <t>Polvo de Textura '10 Volume Powder</t>
  </si>
  <si>
    <t>Polvo de Textura '13 Styling Powder</t>
  </si>
  <si>
    <t>Polvo de Textura '15 Volume Powder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</si>
</sst>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.0%"/>
  </numFmts>
  <fonts count="31">
    <font>
      <sz val="11"/>
      <color theme="1"/>
      <name val="Calibri"/>
      <charset val="1"/>
    </font>
    <font>
      <b/>
      <sz val="14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2"/>
      <color rgb="FF1A1D1A"/>
      <name val="Calibri"/>
      <charset val="1"/>
    </font>
    <font>
      <sz val="11"/>
      <color rgb="FF0000FF"/>
      <name val="Arial"/>
      <charset val="1"/>
    </font>
    <font>
      <sz val="11"/>
      <color rgb="FF000000"/>
      <name val="Arial"/>
      <charset val="1"/>
    </font>
    <font>
      <sz val="12"/>
      <color rgb="FF000000"/>
      <name val="Calibri"/>
      <charset val="1"/>
    </font>
    <font>
      <sz val="10.5"/>
      <color rgb="FF0A0A0A"/>
      <name val="Segoe UI"/>
      <charset val="1"/>
    </font>
    <font>
      <i/>
      <sz val="1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D9E1F2"/>
        <bgColor rgb="FFC6EFCE"/>
      </patternFill>
    </fill>
    <fill>
      <patternFill patternType="solid">
        <fgColor rgb="FFFFF2CC"/>
        <bgColor rgb="FFFFFFFF"/>
      </patternFill>
    </fill>
    <fill>
      <patternFill patternType="solid">
        <fgColor rgb="FFC6EFCE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Border="0" applyAlignment="0" applyProtection="0"/>
    <xf numFmtId="44" fontId="10" fillId="0" borderId="0" applyBorder="0" applyAlignment="0" applyProtection="0"/>
    <xf numFmtId="9" fontId="10" fillId="0" borderId="0" applyBorder="0" applyAlignment="0" applyProtection="0"/>
    <xf numFmtId="41" fontId="10" fillId="0" borderId="0" applyBorder="0" applyAlignment="0" applyProtection="0"/>
    <xf numFmtId="42" fontId="10" fillId="0" borderId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21" fillId="8" borderId="6" applyNumberFormat="0" applyAlignment="0" applyProtection="0">
      <alignment vertical="center"/>
    </xf>
    <xf numFmtId="0" fontId="22" fillId="8" borderId="5" applyNumberFormat="0" applyAlignment="0" applyProtection="0">
      <alignment vertical="center"/>
    </xf>
    <xf numFmtId="0" fontId="23" fillId="9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/>
    <xf numFmtId="3" fontId="5" fillId="4" borderId="1" xfId="0" applyNumberFormat="1" applyFont="1" applyFill="1" applyBorder="1"/>
    <xf numFmtId="3" fontId="5" fillId="4" borderId="1" xfId="0" applyNumberFormat="1" applyFont="1" applyFill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176" fontId="6" fillId="0" borderId="1" xfId="0" applyNumberFormat="1" applyFont="1" applyBorder="1" applyAlignment="1">
      <alignment horizontal="center"/>
    </xf>
    <xf numFmtId="3" fontId="5" fillId="5" borderId="1" xfId="0" applyNumberFormat="1" applyFont="1" applyFill="1" applyBorder="1" applyAlignment="1">
      <alignment horizontal="center"/>
    </xf>
    <xf numFmtId="0" fontId="7" fillId="0" borderId="1" xfId="0" applyFont="1" applyBorder="1"/>
    <xf numFmtId="0" fontId="8" fillId="0" borderId="0" xfId="0" applyFont="1"/>
    <xf numFmtId="0" fontId="9" fillId="0" borderId="0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2CC"/>
      <rgbColor rgb="00CCFFFF"/>
      <rgbColor rgb="00660066"/>
      <rgbColor rgb="00FF8080"/>
      <rgbColor rgb="000066CC"/>
      <rgbColor rgb="00D9E1F2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6EFCE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05496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0"/>
  <sheetViews>
    <sheetView tabSelected="1" workbookViewId="0">
      <pane xSplit="2" ySplit="4" topLeftCell="C10" activePane="bottomRight" state="frozen"/>
      <selection/>
      <selection pane="topRight"/>
      <selection pane="bottomLeft"/>
      <selection pane="bottomRight" activeCell="A21" sqref="A21"/>
    </sheetView>
  </sheetViews>
  <sheetFormatPr defaultColWidth="8.68181818181818" defaultRowHeight="14.5"/>
  <cols>
    <col min="1" max="1" width="36.5454545454545" customWidth="1"/>
    <col min="2" max="2" width="11" customWidth="1"/>
    <col min="3" max="8" width="12" customWidth="1"/>
    <col min="9" max="9" width="3" customWidth="1"/>
    <col min="10" max="15" width="12" customWidth="1"/>
    <col min="16" max="16" width="3" customWidth="1"/>
    <col min="17" max="22" width="12" customWidth="1"/>
    <col min="23" max="23" width="3" customWidth="1"/>
    <col min="24" max="29" width="12" customWidth="1"/>
  </cols>
  <sheetData>
    <row r="1" ht="19.5" customHeight="1" spans="1:2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3" ht="18" customHeight="1" spans="1:29">
      <c r="A3" s="2" t="s">
        <v>1</v>
      </c>
      <c r="B3" s="2" t="s">
        <v>2</v>
      </c>
      <c r="C3" s="2" t="s">
        <v>3</v>
      </c>
      <c r="D3" s="2"/>
      <c r="E3" s="2"/>
      <c r="F3" s="2"/>
      <c r="G3" s="2"/>
      <c r="H3" s="2"/>
      <c r="I3" s="2"/>
      <c r="J3" s="2" t="s">
        <v>4</v>
      </c>
      <c r="K3" s="2"/>
      <c r="L3" s="2"/>
      <c r="M3" s="2"/>
      <c r="N3" s="2"/>
      <c r="O3" s="2"/>
      <c r="P3" s="2"/>
      <c r="Q3" s="2" t="s">
        <v>5</v>
      </c>
      <c r="R3" s="2"/>
      <c r="S3" s="2"/>
      <c r="T3" s="2"/>
      <c r="U3" s="2"/>
      <c r="V3" s="2"/>
      <c r="W3" s="2"/>
      <c r="X3" s="2" t="s">
        <v>6</v>
      </c>
      <c r="Y3" s="2"/>
      <c r="Z3" s="2"/>
      <c r="AA3" s="2"/>
      <c r="AB3" s="2"/>
      <c r="AC3" s="2"/>
    </row>
    <row r="4" ht="31.5" customHeight="1" spans="1:29">
      <c r="A4" s="2"/>
      <c r="B4" s="2"/>
      <c r="C4" s="3" t="s">
        <v>7</v>
      </c>
      <c r="D4" s="3" t="s">
        <v>8</v>
      </c>
      <c r="E4" s="3" t="s">
        <v>9</v>
      </c>
      <c r="F4" s="3" t="s">
        <v>10</v>
      </c>
      <c r="G4" s="3" t="s">
        <v>11</v>
      </c>
      <c r="H4" s="3" t="s">
        <v>12</v>
      </c>
      <c r="I4" s="3"/>
      <c r="J4" s="3" t="s">
        <v>7</v>
      </c>
      <c r="K4" s="3" t="s">
        <v>8</v>
      </c>
      <c r="L4" s="3" t="s">
        <v>9</v>
      </c>
      <c r="M4" s="3" t="s">
        <v>10</v>
      </c>
      <c r="N4" s="3" t="s">
        <v>11</v>
      </c>
      <c r="O4" s="3" t="s">
        <v>12</v>
      </c>
      <c r="P4" s="3"/>
      <c r="Q4" s="3" t="s">
        <v>7</v>
      </c>
      <c r="R4" s="3" t="s">
        <v>8</v>
      </c>
      <c r="S4" s="3" t="s">
        <v>9</v>
      </c>
      <c r="T4" s="3" t="s">
        <v>10</v>
      </c>
      <c r="U4" s="3" t="s">
        <v>11</v>
      </c>
      <c r="V4" s="3" t="s">
        <v>12</v>
      </c>
      <c r="W4" s="3"/>
      <c r="X4" s="3" t="s">
        <v>7</v>
      </c>
      <c r="Y4" s="3" t="s">
        <v>8</v>
      </c>
      <c r="Z4" s="3" t="s">
        <v>9</v>
      </c>
      <c r="AA4" s="3" t="s">
        <v>10</v>
      </c>
      <c r="AB4" s="3" t="s">
        <v>11</v>
      </c>
      <c r="AC4" s="3" t="s">
        <v>12</v>
      </c>
    </row>
    <row r="5" ht="15.5" spans="1:29">
      <c r="A5" s="4" t="s">
        <v>13</v>
      </c>
      <c r="B5" s="5">
        <v>3200</v>
      </c>
      <c r="C5" s="6">
        <v>10000</v>
      </c>
      <c r="D5" s="7">
        <f t="shared" ref="D5:D19" si="0">$B5*1</f>
        <v>3200</v>
      </c>
      <c r="E5" s="7">
        <f t="shared" ref="E5:E19" si="1">C5*1</f>
        <v>10000</v>
      </c>
      <c r="F5" s="7">
        <f t="shared" ref="F5:F19" si="2">E5-E5/1.19</f>
        <v>1596.63865546218</v>
      </c>
      <c r="G5" s="7">
        <f t="shared" ref="G5:G19" si="3">E5-F5-D5</f>
        <v>5203.36134453782</v>
      </c>
      <c r="H5" s="8">
        <f t="shared" ref="H5:H19" si="4">G5/D5</f>
        <v>1.62605042016807</v>
      </c>
      <c r="J5" s="6">
        <v>5900</v>
      </c>
      <c r="K5" s="7">
        <f t="shared" ref="K5:K12" si="5">$B5*6</f>
        <v>19200</v>
      </c>
      <c r="L5" s="7">
        <f t="shared" ref="L5:L12" si="6">J5*6</f>
        <v>35400</v>
      </c>
      <c r="M5" s="7">
        <f t="shared" ref="M5:M12" si="7">L5-L5/1.19</f>
        <v>5652.10084033613</v>
      </c>
      <c r="N5" s="7">
        <f t="shared" ref="N5:N12" si="8">L5-M5-K5</f>
        <v>10547.8991596639</v>
      </c>
      <c r="O5" s="8">
        <f t="shared" ref="O5:O12" si="9">N5/K5</f>
        <v>0.54936974789916</v>
      </c>
      <c r="Q5" s="6">
        <v>5200</v>
      </c>
      <c r="R5" s="7">
        <f t="shared" ref="R5:R12" si="10">$B5*12</f>
        <v>38400</v>
      </c>
      <c r="S5" s="7">
        <f t="shared" ref="S5:S12" si="11">Q5*12</f>
        <v>62400</v>
      </c>
      <c r="T5" s="7">
        <f t="shared" ref="T5:T12" si="12">S5-S5/1.19</f>
        <v>9963.02521008403</v>
      </c>
      <c r="U5" s="7">
        <f t="shared" ref="U5:U12" si="13">S5-T5-R5</f>
        <v>14036.974789916</v>
      </c>
      <c r="V5" s="8">
        <f t="shared" ref="V5:V12" si="14">U5/R5</f>
        <v>0.365546218487395</v>
      </c>
      <c r="X5" s="6">
        <v>4700</v>
      </c>
      <c r="Y5" s="7">
        <f t="shared" ref="Y5:Y12" si="15">$B5*24</f>
        <v>76800</v>
      </c>
      <c r="Z5" s="7">
        <f t="shared" ref="Z5:Z12" si="16">X5*24</f>
        <v>112800</v>
      </c>
      <c r="AA5" s="7">
        <f t="shared" ref="AA5:AA12" si="17">Z5-Z5/1.19</f>
        <v>18010.0840336134</v>
      </c>
      <c r="AB5" s="7">
        <f t="shared" ref="AB5:AB12" si="18">Z5-AA5-Y5</f>
        <v>17989.9159663866</v>
      </c>
      <c r="AC5" s="8">
        <f t="shared" ref="AC5:AC12" si="19">AB5/Y5</f>
        <v>0.234243697478992</v>
      </c>
    </row>
    <row r="6" ht="15.5" spans="1:29">
      <c r="A6" s="4" t="s">
        <v>14</v>
      </c>
      <c r="B6" s="5">
        <v>3200</v>
      </c>
      <c r="C6" s="6">
        <v>10000</v>
      </c>
      <c r="D6" s="7">
        <f t="shared" si="0"/>
        <v>3200</v>
      </c>
      <c r="E6" s="7">
        <f t="shared" si="1"/>
        <v>10000</v>
      </c>
      <c r="F6" s="7">
        <f t="shared" si="2"/>
        <v>1596.63865546218</v>
      </c>
      <c r="G6" s="7">
        <f t="shared" si="3"/>
        <v>5203.36134453782</v>
      </c>
      <c r="H6" s="8">
        <f t="shared" si="4"/>
        <v>1.62605042016807</v>
      </c>
      <c r="J6" s="6">
        <v>5900</v>
      </c>
      <c r="K6" s="7">
        <f t="shared" si="5"/>
        <v>19200</v>
      </c>
      <c r="L6" s="7">
        <f t="shared" si="6"/>
        <v>35400</v>
      </c>
      <c r="M6" s="7">
        <f t="shared" si="7"/>
        <v>5652.10084033613</v>
      </c>
      <c r="N6" s="7">
        <f t="shared" si="8"/>
        <v>10547.8991596639</v>
      </c>
      <c r="O6" s="8">
        <f t="shared" si="9"/>
        <v>0.54936974789916</v>
      </c>
      <c r="Q6" s="6">
        <v>5200</v>
      </c>
      <c r="R6" s="7">
        <f t="shared" si="10"/>
        <v>38400</v>
      </c>
      <c r="S6" s="7">
        <f t="shared" si="11"/>
        <v>62400</v>
      </c>
      <c r="T6" s="7">
        <f t="shared" si="12"/>
        <v>9963.02521008403</v>
      </c>
      <c r="U6" s="7">
        <f t="shared" si="13"/>
        <v>14036.974789916</v>
      </c>
      <c r="V6" s="8">
        <f t="shared" si="14"/>
        <v>0.365546218487395</v>
      </c>
      <c r="X6" s="6">
        <v>4700</v>
      </c>
      <c r="Y6" s="7">
        <f t="shared" si="15"/>
        <v>76800</v>
      </c>
      <c r="Z6" s="7">
        <f t="shared" si="16"/>
        <v>112800</v>
      </c>
      <c r="AA6" s="7">
        <f t="shared" si="17"/>
        <v>18010.0840336134</v>
      </c>
      <c r="AB6" s="7">
        <f t="shared" si="18"/>
        <v>17989.9159663866</v>
      </c>
      <c r="AC6" s="8">
        <f t="shared" si="19"/>
        <v>0.234243697478992</v>
      </c>
    </row>
    <row r="7" ht="15.5" spans="1:29">
      <c r="A7" s="4" t="s">
        <v>15</v>
      </c>
      <c r="B7" s="5">
        <v>3700</v>
      </c>
      <c r="C7" s="6">
        <v>10000</v>
      </c>
      <c r="D7" s="7">
        <f t="shared" si="0"/>
        <v>3700</v>
      </c>
      <c r="E7" s="7">
        <f t="shared" si="1"/>
        <v>10000</v>
      </c>
      <c r="F7" s="7">
        <f t="shared" si="2"/>
        <v>1596.63865546218</v>
      </c>
      <c r="G7" s="7">
        <f t="shared" si="3"/>
        <v>4703.36134453782</v>
      </c>
      <c r="H7" s="8">
        <f t="shared" si="4"/>
        <v>1.27117874176698</v>
      </c>
      <c r="J7" s="6">
        <v>6800</v>
      </c>
      <c r="K7" s="7">
        <f t="shared" si="5"/>
        <v>22200</v>
      </c>
      <c r="L7" s="7">
        <f t="shared" si="6"/>
        <v>40800</v>
      </c>
      <c r="M7" s="7">
        <f t="shared" si="7"/>
        <v>6514.28571428571</v>
      </c>
      <c r="N7" s="7">
        <f t="shared" si="8"/>
        <v>12085.7142857143</v>
      </c>
      <c r="O7" s="8">
        <f t="shared" si="9"/>
        <v>0.544401544401545</v>
      </c>
      <c r="Q7" s="6">
        <v>6000</v>
      </c>
      <c r="R7" s="7">
        <f t="shared" si="10"/>
        <v>44400</v>
      </c>
      <c r="S7" s="7">
        <f t="shared" si="11"/>
        <v>72000</v>
      </c>
      <c r="T7" s="7">
        <f t="shared" si="12"/>
        <v>11495.7983193277</v>
      </c>
      <c r="U7" s="7">
        <f t="shared" si="13"/>
        <v>16104.2016806723</v>
      </c>
      <c r="V7" s="8">
        <f t="shared" si="14"/>
        <v>0.362707245060186</v>
      </c>
      <c r="X7" s="6">
        <v>5000</v>
      </c>
      <c r="Y7" s="7">
        <f t="shared" si="15"/>
        <v>88800</v>
      </c>
      <c r="Z7" s="7">
        <f t="shared" si="16"/>
        <v>120000</v>
      </c>
      <c r="AA7" s="7">
        <f t="shared" si="17"/>
        <v>19159.6638655462</v>
      </c>
      <c r="AB7" s="7">
        <f t="shared" si="18"/>
        <v>12040.3361344538</v>
      </c>
      <c r="AC7" s="8">
        <f t="shared" si="19"/>
        <v>0.135589370883489</v>
      </c>
    </row>
    <row r="8" ht="15.5" spans="1:29">
      <c r="A8" s="4" t="s">
        <v>16</v>
      </c>
      <c r="B8" s="5">
        <v>3700</v>
      </c>
      <c r="C8" s="6">
        <v>10000</v>
      </c>
      <c r="D8" s="7">
        <f t="shared" si="0"/>
        <v>3700</v>
      </c>
      <c r="E8" s="7">
        <f t="shared" si="1"/>
        <v>10000</v>
      </c>
      <c r="F8" s="7">
        <f t="shared" si="2"/>
        <v>1596.63865546218</v>
      </c>
      <c r="G8" s="7">
        <f t="shared" si="3"/>
        <v>4703.36134453782</v>
      </c>
      <c r="H8" s="8">
        <f t="shared" si="4"/>
        <v>1.27117874176698</v>
      </c>
      <c r="J8" s="6">
        <v>6800</v>
      </c>
      <c r="K8" s="7">
        <f t="shared" si="5"/>
        <v>22200</v>
      </c>
      <c r="L8" s="7">
        <f t="shared" si="6"/>
        <v>40800</v>
      </c>
      <c r="M8" s="7">
        <f t="shared" si="7"/>
        <v>6514.28571428571</v>
      </c>
      <c r="N8" s="7">
        <f t="shared" si="8"/>
        <v>12085.7142857143</v>
      </c>
      <c r="O8" s="8">
        <f t="shared" si="9"/>
        <v>0.544401544401545</v>
      </c>
      <c r="Q8" s="6">
        <v>6000</v>
      </c>
      <c r="R8" s="7">
        <f t="shared" si="10"/>
        <v>44400</v>
      </c>
      <c r="S8" s="7">
        <f t="shared" si="11"/>
        <v>72000</v>
      </c>
      <c r="T8" s="7">
        <f t="shared" si="12"/>
        <v>11495.7983193277</v>
      </c>
      <c r="U8" s="7">
        <f t="shared" si="13"/>
        <v>16104.2016806723</v>
      </c>
      <c r="V8" s="8">
        <f t="shared" si="14"/>
        <v>0.362707245060186</v>
      </c>
      <c r="X8" s="6">
        <v>5000</v>
      </c>
      <c r="Y8" s="7">
        <f t="shared" si="15"/>
        <v>88800</v>
      </c>
      <c r="Z8" s="7">
        <f t="shared" si="16"/>
        <v>120000</v>
      </c>
      <c r="AA8" s="7">
        <f t="shared" si="17"/>
        <v>19159.6638655462</v>
      </c>
      <c r="AB8" s="7">
        <f t="shared" si="18"/>
        <v>12040.3361344538</v>
      </c>
      <c r="AC8" s="8">
        <f t="shared" si="19"/>
        <v>0.135589370883489</v>
      </c>
    </row>
    <row r="9" ht="15.5" spans="1:29">
      <c r="A9" s="4" t="s">
        <v>17</v>
      </c>
      <c r="B9" s="5">
        <v>5500</v>
      </c>
      <c r="C9" s="9">
        <v>12000</v>
      </c>
      <c r="D9" s="7">
        <f t="shared" si="0"/>
        <v>5500</v>
      </c>
      <c r="E9" s="7">
        <f t="shared" si="1"/>
        <v>12000</v>
      </c>
      <c r="F9" s="7">
        <f t="shared" si="2"/>
        <v>1915.96638655462</v>
      </c>
      <c r="G9" s="7">
        <f t="shared" si="3"/>
        <v>4584.03361344538</v>
      </c>
      <c r="H9" s="8">
        <f t="shared" si="4"/>
        <v>0.833460656990069</v>
      </c>
      <c r="J9" s="9">
        <v>8500</v>
      </c>
      <c r="K9" s="7">
        <f t="shared" si="5"/>
        <v>33000</v>
      </c>
      <c r="L9" s="7">
        <f t="shared" si="6"/>
        <v>51000</v>
      </c>
      <c r="M9" s="7">
        <f t="shared" si="7"/>
        <v>8142.85714285714</v>
      </c>
      <c r="N9" s="7">
        <f t="shared" si="8"/>
        <v>9857.14285714286</v>
      </c>
      <c r="O9" s="8">
        <f t="shared" si="9"/>
        <v>0.298701298701299</v>
      </c>
      <c r="Q9" s="9">
        <v>7700</v>
      </c>
      <c r="R9" s="7">
        <f t="shared" si="10"/>
        <v>66000</v>
      </c>
      <c r="S9" s="7">
        <f t="shared" si="11"/>
        <v>92400</v>
      </c>
      <c r="T9" s="7">
        <f t="shared" si="12"/>
        <v>14752.9411764706</v>
      </c>
      <c r="U9" s="7">
        <f t="shared" si="13"/>
        <v>11647.0588235294</v>
      </c>
      <c r="V9" s="8">
        <f t="shared" si="14"/>
        <v>0.176470588235294</v>
      </c>
      <c r="X9" s="9">
        <v>7200</v>
      </c>
      <c r="Y9" s="7">
        <f t="shared" si="15"/>
        <v>132000</v>
      </c>
      <c r="Z9" s="7">
        <f t="shared" si="16"/>
        <v>172800</v>
      </c>
      <c r="AA9" s="7">
        <f t="shared" si="17"/>
        <v>27589.9159663866</v>
      </c>
      <c r="AB9" s="7">
        <f t="shared" si="18"/>
        <v>13210.0840336134</v>
      </c>
      <c r="AC9" s="8">
        <f t="shared" si="19"/>
        <v>0.100076394194041</v>
      </c>
    </row>
    <row r="10" ht="15.5" spans="1:29">
      <c r="A10" s="10" t="s">
        <v>18</v>
      </c>
      <c r="B10" s="5">
        <v>4300</v>
      </c>
      <c r="C10" s="6">
        <v>10000</v>
      </c>
      <c r="D10" s="7">
        <f t="shared" si="0"/>
        <v>4300</v>
      </c>
      <c r="E10" s="7">
        <f t="shared" si="1"/>
        <v>10000</v>
      </c>
      <c r="F10" s="7">
        <f t="shared" si="2"/>
        <v>1596.63865546218</v>
      </c>
      <c r="G10" s="7">
        <f t="shared" si="3"/>
        <v>4103.36134453782</v>
      </c>
      <c r="H10" s="8">
        <f t="shared" si="4"/>
        <v>0.954270080125074</v>
      </c>
      <c r="J10" s="6">
        <v>8000</v>
      </c>
      <c r="K10" s="7">
        <f t="shared" si="5"/>
        <v>25800</v>
      </c>
      <c r="L10" s="7">
        <f t="shared" si="6"/>
        <v>48000</v>
      </c>
      <c r="M10" s="7">
        <f t="shared" si="7"/>
        <v>7663.86554621848</v>
      </c>
      <c r="N10" s="7">
        <f t="shared" si="8"/>
        <v>14536.1344537815</v>
      </c>
      <c r="O10" s="8">
        <f t="shared" si="9"/>
        <v>0.563416064100059</v>
      </c>
      <c r="Q10" s="6">
        <v>7000</v>
      </c>
      <c r="R10" s="7">
        <f t="shared" si="10"/>
        <v>51600</v>
      </c>
      <c r="S10" s="7">
        <f t="shared" si="11"/>
        <v>84000</v>
      </c>
      <c r="T10" s="7">
        <f t="shared" si="12"/>
        <v>13411.7647058823</v>
      </c>
      <c r="U10" s="7">
        <f t="shared" si="13"/>
        <v>18988.2352941177</v>
      </c>
      <c r="V10" s="8">
        <f t="shared" si="14"/>
        <v>0.367989056087551</v>
      </c>
      <c r="X10" s="6">
        <v>6000</v>
      </c>
      <c r="Y10" s="7">
        <f t="shared" si="15"/>
        <v>103200</v>
      </c>
      <c r="Z10" s="7">
        <f t="shared" si="16"/>
        <v>144000</v>
      </c>
      <c r="AA10" s="7">
        <f t="shared" si="17"/>
        <v>22991.5966386555</v>
      </c>
      <c r="AB10" s="7">
        <f t="shared" si="18"/>
        <v>17808.4033613445</v>
      </c>
      <c r="AC10" s="8">
        <f t="shared" si="19"/>
        <v>0.172562048075044</v>
      </c>
    </row>
    <row r="11" customFormat="1" ht="15.5" spans="1:29">
      <c r="A11" s="10" t="s">
        <v>19</v>
      </c>
      <c r="B11" s="5">
        <v>3300</v>
      </c>
      <c r="C11" s="6">
        <v>10000</v>
      </c>
      <c r="D11" s="7">
        <f t="shared" si="0"/>
        <v>3300</v>
      </c>
      <c r="E11" s="7">
        <f t="shared" si="1"/>
        <v>10000</v>
      </c>
      <c r="F11" s="7">
        <f t="shared" si="2"/>
        <v>1596.63865546218</v>
      </c>
      <c r="G11" s="7">
        <f t="shared" si="3"/>
        <v>5103.36134453782</v>
      </c>
      <c r="H11" s="8">
        <f t="shared" si="4"/>
        <v>1.54647313470843</v>
      </c>
      <c r="J11" s="6">
        <v>6000</v>
      </c>
      <c r="K11" s="7">
        <f t="shared" si="5"/>
        <v>19800</v>
      </c>
      <c r="L11" s="7">
        <f t="shared" si="6"/>
        <v>36000</v>
      </c>
      <c r="M11" s="7">
        <f t="shared" si="7"/>
        <v>5747.89915966386</v>
      </c>
      <c r="N11" s="7">
        <f t="shared" si="8"/>
        <v>10452.1008403361</v>
      </c>
      <c r="O11" s="8">
        <f t="shared" si="9"/>
        <v>0.527883880825057</v>
      </c>
      <c r="Q11" s="6">
        <v>5000</v>
      </c>
      <c r="R11" s="7">
        <f t="shared" si="10"/>
        <v>39600</v>
      </c>
      <c r="S11" s="7">
        <f t="shared" si="11"/>
        <v>60000</v>
      </c>
      <c r="T11" s="7">
        <f t="shared" si="12"/>
        <v>9579.83193277311</v>
      </c>
      <c r="U11" s="7">
        <f t="shared" si="13"/>
        <v>10820.1680672269</v>
      </c>
      <c r="V11" s="8">
        <f t="shared" si="14"/>
        <v>0.273236567354214</v>
      </c>
      <c r="X11" s="6">
        <v>4500</v>
      </c>
      <c r="Y11" s="7">
        <f t="shared" si="15"/>
        <v>79200</v>
      </c>
      <c r="Z11" s="7">
        <f t="shared" si="16"/>
        <v>108000</v>
      </c>
      <c r="AA11" s="7">
        <f t="shared" si="17"/>
        <v>17243.6974789916</v>
      </c>
      <c r="AB11" s="7">
        <f t="shared" si="18"/>
        <v>11556.3025210084</v>
      </c>
      <c r="AC11" s="8">
        <f t="shared" si="19"/>
        <v>0.145912910618793</v>
      </c>
    </row>
    <row r="12" customFormat="1" ht="15.5" spans="1:29">
      <c r="A12" s="10" t="s">
        <v>20</v>
      </c>
      <c r="B12" s="5">
        <v>5500</v>
      </c>
      <c r="C12" s="6">
        <v>10000</v>
      </c>
      <c r="D12" s="7">
        <f t="shared" si="0"/>
        <v>5500</v>
      </c>
      <c r="E12" s="7">
        <f t="shared" si="1"/>
        <v>10000</v>
      </c>
      <c r="F12" s="7">
        <f t="shared" si="2"/>
        <v>1596.63865546218</v>
      </c>
      <c r="G12" s="7">
        <f t="shared" si="3"/>
        <v>2903.36134453782</v>
      </c>
      <c r="H12" s="8">
        <f t="shared" si="4"/>
        <v>0.527883880825057</v>
      </c>
      <c r="J12" s="6"/>
      <c r="K12" s="7"/>
      <c r="L12" s="7"/>
      <c r="M12" s="7"/>
      <c r="N12" s="7"/>
      <c r="O12" s="8"/>
      <c r="Q12" s="6"/>
      <c r="R12" s="7"/>
      <c r="S12" s="7"/>
      <c r="T12" s="7"/>
      <c r="U12" s="7"/>
      <c r="V12" s="8"/>
      <c r="X12" s="6"/>
      <c r="Y12" s="7"/>
      <c r="Z12" s="7"/>
      <c r="AA12" s="7"/>
      <c r="AB12" s="7"/>
      <c r="AC12" s="8"/>
    </row>
    <row r="13" customFormat="1" ht="17" spans="1:29">
      <c r="A13" s="11" t="s">
        <v>21</v>
      </c>
      <c r="B13" s="5">
        <v>5500</v>
      </c>
      <c r="C13" s="9">
        <v>12000</v>
      </c>
      <c r="D13" s="7">
        <f t="shared" si="0"/>
        <v>5500</v>
      </c>
      <c r="E13" s="7">
        <f t="shared" si="1"/>
        <v>12000</v>
      </c>
      <c r="F13" s="7">
        <f t="shared" si="2"/>
        <v>1915.96638655462</v>
      </c>
      <c r="G13" s="7">
        <f t="shared" si="3"/>
        <v>4584.03361344538</v>
      </c>
      <c r="H13" s="8">
        <f t="shared" si="4"/>
        <v>0.833460656990069</v>
      </c>
      <c r="J13" s="9">
        <v>8500</v>
      </c>
      <c r="K13" s="7">
        <f t="shared" ref="K13:K19" si="20">$B13*6</f>
        <v>33000</v>
      </c>
      <c r="L13" s="7">
        <f t="shared" ref="L13:L19" si="21">J13*6</f>
        <v>51000</v>
      </c>
      <c r="M13" s="7">
        <f t="shared" ref="M13:M19" si="22">L13-L13/1.19</f>
        <v>8142.85714285714</v>
      </c>
      <c r="N13" s="7">
        <f t="shared" ref="N13:N19" si="23">L13-M13-K13</f>
        <v>9857.14285714286</v>
      </c>
      <c r="O13" s="8">
        <f t="shared" ref="O13:O19" si="24">N13/K13</f>
        <v>0.298701298701299</v>
      </c>
      <c r="Q13" s="9">
        <v>7700</v>
      </c>
      <c r="R13" s="7">
        <f t="shared" ref="R13:R19" si="25">$B13*12</f>
        <v>66000</v>
      </c>
      <c r="S13" s="7">
        <f t="shared" ref="S13:S19" si="26">Q13*12</f>
        <v>92400</v>
      </c>
      <c r="T13" s="7">
        <f t="shared" ref="T13:T19" si="27">S13-S13/1.19</f>
        <v>14752.9411764706</v>
      </c>
      <c r="U13" s="7">
        <f t="shared" ref="U13:U19" si="28">S13-T13-R13</f>
        <v>11647.0588235294</v>
      </c>
      <c r="V13" s="8">
        <f t="shared" ref="V13:V19" si="29">U13/R13</f>
        <v>0.176470588235294</v>
      </c>
      <c r="X13" s="9">
        <v>7200</v>
      </c>
      <c r="Y13" s="7">
        <f t="shared" ref="Y13:Y19" si="30">$B13*24</f>
        <v>132000</v>
      </c>
      <c r="Z13" s="7">
        <f t="shared" ref="Z13:Z19" si="31">X13*24</f>
        <v>172800</v>
      </c>
      <c r="AA13" s="7">
        <f t="shared" ref="AA13:AA19" si="32">Z13-Z13/1.19</f>
        <v>27589.9159663866</v>
      </c>
      <c r="AB13" s="7">
        <f t="shared" ref="AB13:AB19" si="33">Z13-AA13-Y13</f>
        <v>13210.0840336134</v>
      </c>
      <c r="AC13" s="8">
        <f t="shared" ref="AC13:AC19" si="34">AB13/Y13</f>
        <v>0.100076394194041</v>
      </c>
    </row>
    <row r="14" customFormat="1" ht="15.5" spans="1:29">
      <c r="A14" s="4" t="s">
        <v>22</v>
      </c>
      <c r="B14" s="5">
        <v>3200</v>
      </c>
      <c r="C14" s="6">
        <v>10000</v>
      </c>
      <c r="D14" s="7">
        <f t="shared" si="0"/>
        <v>3200</v>
      </c>
      <c r="E14" s="7">
        <f t="shared" si="1"/>
        <v>10000</v>
      </c>
      <c r="F14" s="7">
        <f t="shared" si="2"/>
        <v>1596.63865546218</v>
      </c>
      <c r="G14" s="7">
        <f t="shared" si="3"/>
        <v>5203.36134453782</v>
      </c>
      <c r="H14" s="8">
        <f t="shared" si="4"/>
        <v>1.62605042016807</v>
      </c>
      <c r="J14" s="6">
        <v>5900</v>
      </c>
      <c r="K14" s="7">
        <f t="shared" si="20"/>
        <v>19200</v>
      </c>
      <c r="L14" s="7">
        <f t="shared" si="21"/>
        <v>35400</v>
      </c>
      <c r="M14" s="7">
        <f t="shared" si="22"/>
        <v>5652.10084033613</v>
      </c>
      <c r="N14" s="7">
        <f t="shared" si="23"/>
        <v>10547.8991596639</v>
      </c>
      <c r="O14" s="8">
        <f t="shared" si="24"/>
        <v>0.54936974789916</v>
      </c>
      <c r="Q14" s="6">
        <v>5200</v>
      </c>
      <c r="R14" s="7">
        <f t="shared" si="25"/>
        <v>38400</v>
      </c>
      <c r="S14" s="7">
        <f t="shared" si="26"/>
        <v>62400</v>
      </c>
      <c r="T14" s="7">
        <f t="shared" si="27"/>
        <v>9963.02521008403</v>
      </c>
      <c r="U14" s="7">
        <f t="shared" si="28"/>
        <v>14036.974789916</v>
      </c>
      <c r="V14" s="8">
        <f t="shared" si="29"/>
        <v>0.365546218487395</v>
      </c>
      <c r="X14" s="6">
        <v>4700</v>
      </c>
      <c r="Y14" s="7">
        <f t="shared" si="30"/>
        <v>76800</v>
      </c>
      <c r="Z14" s="7">
        <f t="shared" si="31"/>
        <v>112800</v>
      </c>
      <c r="AA14" s="7">
        <f t="shared" si="32"/>
        <v>18010.0840336134</v>
      </c>
      <c r="AB14" s="7">
        <f t="shared" si="33"/>
        <v>17989.9159663866</v>
      </c>
      <c r="AC14" s="8">
        <f t="shared" si="34"/>
        <v>0.234243697478992</v>
      </c>
    </row>
    <row r="15" customFormat="1" ht="15.5" spans="1:29">
      <c r="A15" s="4" t="s">
        <v>23</v>
      </c>
      <c r="B15" s="5">
        <v>3200</v>
      </c>
      <c r="C15" s="6">
        <v>10000</v>
      </c>
      <c r="D15" s="7">
        <f t="shared" si="0"/>
        <v>3200</v>
      </c>
      <c r="E15" s="7">
        <f t="shared" si="1"/>
        <v>10000</v>
      </c>
      <c r="F15" s="7">
        <f t="shared" si="2"/>
        <v>1596.63865546218</v>
      </c>
      <c r="G15" s="7">
        <f t="shared" si="3"/>
        <v>5203.36134453782</v>
      </c>
      <c r="H15" s="8">
        <f t="shared" si="4"/>
        <v>1.62605042016807</v>
      </c>
      <c r="J15" s="6">
        <v>5900</v>
      </c>
      <c r="K15" s="7">
        <f t="shared" si="20"/>
        <v>19200</v>
      </c>
      <c r="L15" s="7">
        <f t="shared" si="21"/>
        <v>35400</v>
      </c>
      <c r="M15" s="7">
        <f t="shared" si="22"/>
        <v>5652.10084033613</v>
      </c>
      <c r="N15" s="7">
        <f t="shared" si="23"/>
        <v>10547.8991596639</v>
      </c>
      <c r="O15" s="8">
        <f t="shared" si="24"/>
        <v>0.54936974789916</v>
      </c>
      <c r="Q15" s="6">
        <v>5200</v>
      </c>
      <c r="R15" s="7">
        <f t="shared" si="25"/>
        <v>38400</v>
      </c>
      <c r="S15" s="7">
        <f t="shared" si="26"/>
        <v>62400</v>
      </c>
      <c r="T15" s="7">
        <f t="shared" si="27"/>
        <v>9963.02521008403</v>
      </c>
      <c r="U15" s="7">
        <f t="shared" si="28"/>
        <v>14036.974789916</v>
      </c>
      <c r="V15" s="8">
        <f t="shared" si="29"/>
        <v>0.365546218487395</v>
      </c>
      <c r="X15" s="6">
        <v>4700</v>
      </c>
      <c r="Y15" s="7">
        <f t="shared" si="30"/>
        <v>76800</v>
      </c>
      <c r="Z15" s="7">
        <f t="shared" si="31"/>
        <v>112800</v>
      </c>
      <c r="AA15" s="7">
        <f t="shared" si="32"/>
        <v>18010.0840336134</v>
      </c>
      <c r="AB15" s="7">
        <f t="shared" si="33"/>
        <v>17989.9159663866</v>
      </c>
      <c r="AC15" s="8">
        <f t="shared" si="34"/>
        <v>0.234243697478992</v>
      </c>
    </row>
    <row r="16" customFormat="1" ht="15.5" spans="1:29">
      <c r="A16" s="4" t="s">
        <v>24</v>
      </c>
      <c r="B16" s="5">
        <v>3200</v>
      </c>
      <c r="C16" s="6">
        <v>10000</v>
      </c>
      <c r="D16" s="7">
        <f t="shared" si="0"/>
        <v>3200</v>
      </c>
      <c r="E16" s="7">
        <f t="shared" si="1"/>
        <v>10000</v>
      </c>
      <c r="F16" s="7">
        <f t="shared" si="2"/>
        <v>1596.63865546218</v>
      </c>
      <c r="G16" s="7">
        <f t="shared" si="3"/>
        <v>5203.36134453782</v>
      </c>
      <c r="H16" s="8">
        <f t="shared" si="4"/>
        <v>1.62605042016807</v>
      </c>
      <c r="J16" s="6">
        <v>5900</v>
      </c>
      <c r="K16" s="7">
        <f t="shared" si="20"/>
        <v>19200</v>
      </c>
      <c r="L16" s="7">
        <f t="shared" si="21"/>
        <v>35400</v>
      </c>
      <c r="M16" s="7">
        <f t="shared" si="22"/>
        <v>5652.10084033613</v>
      </c>
      <c r="N16" s="7">
        <f t="shared" si="23"/>
        <v>10547.8991596639</v>
      </c>
      <c r="O16" s="8">
        <f t="shared" si="24"/>
        <v>0.54936974789916</v>
      </c>
      <c r="Q16" s="6">
        <v>5200</v>
      </c>
      <c r="R16" s="7">
        <f t="shared" si="25"/>
        <v>38400</v>
      </c>
      <c r="S16" s="7">
        <f t="shared" si="26"/>
        <v>62400</v>
      </c>
      <c r="T16" s="7">
        <f t="shared" si="27"/>
        <v>9963.02521008403</v>
      </c>
      <c r="U16" s="7">
        <f t="shared" si="28"/>
        <v>14036.974789916</v>
      </c>
      <c r="V16" s="8">
        <f t="shared" si="29"/>
        <v>0.365546218487395</v>
      </c>
      <c r="X16" s="6">
        <v>4700</v>
      </c>
      <c r="Y16" s="7">
        <f t="shared" si="30"/>
        <v>76800</v>
      </c>
      <c r="Z16" s="7">
        <f t="shared" si="31"/>
        <v>112800</v>
      </c>
      <c r="AA16" s="7">
        <f t="shared" si="32"/>
        <v>18010.0840336134</v>
      </c>
      <c r="AB16" s="7">
        <f t="shared" si="33"/>
        <v>17989.9159663866</v>
      </c>
      <c r="AC16" s="8">
        <f t="shared" si="34"/>
        <v>0.234243697478992</v>
      </c>
    </row>
    <row r="17" customFormat="1" ht="15.5" spans="1:29">
      <c r="A17" s="10" t="s">
        <v>25</v>
      </c>
      <c r="B17" s="5">
        <v>4300</v>
      </c>
      <c r="C17" s="6">
        <v>10000</v>
      </c>
      <c r="D17" s="7">
        <f t="shared" si="0"/>
        <v>4300</v>
      </c>
      <c r="E17" s="7">
        <f t="shared" si="1"/>
        <v>10000</v>
      </c>
      <c r="F17" s="7">
        <f t="shared" si="2"/>
        <v>1596.63865546218</v>
      </c>
      <c r="G17" s="7">
        <f t="shared" si="3"/>
        <v>4103.36134453782</v>
      </c>
      <c r="H17" s="8">
        <f t="shared" si="4"/>
        <v>0.954270080125074</v>
      </c>
      <c r="J17" s="6">
        <v>8000</v>
      </c>
      <c r="K17" s="7">
        <f t="shared" si="20"/>
        <v>25800</v>
      </c>
      <c r="L17" s="7">
        <f t="shared" si="21"/>
        <v>48000</v>
      </c>
      <c r="M17" s="7">
        <f t="shared" si="22"/>
        <v>7663.86554621848</v>
      </c>
      <c r="N17" s="7">
        <f t="shared" si="23"/>
        <v>14536.1344537815</v>
      </c>
      <c r="O17" s="8">
        <f t="shared" si="24"/>
        <v>0.563416064100059</v>
      </c>
      <c r="Q17" s="6">
        <v>7000</v>
      </c>
      <c r="R17" s="7">
        <f t="shared" si="25"/>
        <v>51600</v>
      </c>
      <c r="S17" s="7">
        <f t="shared" si="26"/>
        <v>84000</v>
      </c>
      <c r="T17" s="7">
        <f t="shared" si="27"/>
        <v>13411.7647058823</v>
      </c>
      <c r="U17" s="7">
        <f t="shared" si="28"/>
        <v>18988.2352941177</v>
      </c>
      <c r="V17" s="8">
        <f t="shared" si="29"/>
        <v>0.367989056087551</v>
      </c>
      <c r="X17" s="6">
        <v>6000</v>
      </c>
      <c r="Y17" s="7">
        <f t="shared" si="30"/>
        <v>103200</v>
      </c>
      <c r="Z17" s="7">
        <f t="shared" si="31"/>
        <v>144000</v>
      </c>
      <c r="AA17" s="7">
        <f t="shared" si="32"/>
        <v>22991.5966386555</v>
      </c>
      <c r="AB17" s="7">
        <f t="shared" si="33"/>
        <v>17808.4033613445</v>
      </c>
      <c r="AC17" s="8">
        <f t="shared" si="34"/>
        <v>0.172562048075044</v>
      </c>
    </row>
    <row r="18" customFormat="1" ht="15.5" spans="1:29">
      <c r="A18" s="10" t="s">
        <v>26</v>
      </c>
      <c r="B18" s="5">
        <v>4300</v>
      </c>
      <c r="C18" s="6">
        <v>10000</v>
      </c>
      <c r="D18" s="7">
        <f t="shared" si="0"/>
        <v>4300</v>
      </c>
      <c r="E18" s="7">
        <f t="shared" si="1"/>
        <v>10000</v>
      </c>
      <c r="F18" s="7">
        <f t="shared" si="2"/>
        <v>1596.63865546218</v>
      </c>
      <c r="G18" s="7">
        <f t="shared" si="3"/>
        <v>4103.36134453782</v>
      </c>
      <c r="H18" s="8">
        <f t="shared" si="4"/>
        <v>0.954270080125074</v>
      </c>
      <c r="J18" s="6">
        <v>8000</v>
      </c>
      <c r="K18" s="7">
        <f t="shared" si="20"/>
        <v>25800</v>
      </c>
      <c r="L18" s="7">
        <f t="shared" si="21"/>
        <v>48000</v>
      </c>
      <c r="M18" s="7">
        <f t="shared" si="22"/>
        <v>7663.86554621848</v>
      </c>
      <c r="N18" s="7">
        <f t="shared" si="23"/>
        <v>14536.1344537815</v>
      </c>
      <c r="O18" s="8">
        <f t="shared" si="24"/>
        <v>0.563416064100059</v>
      </c>
      <c r="Q18" s="6">
        <v>7000</v>
      </c>
      <c r="R18" s="7">
        <f t="shared" si="25"/>
        <v>51600</v>
      </c>
      <c r="S18" s="7">
        <f t="shared" si="26"/>
        <v>84000</v>
      </c>
      <c r="T18" s="7">
        <f t="shared" si="27"/>
        <v>13411.7647058823</v>
      </c>
      <c r="U18" s="7">
        <f t="shared" si="28"/>
        <v>18988.2352941177</v>
      </c>
      <c r="V18" s="8">
        <f t="shared" si="29"/>
        <v>0.367989056087551</v>
      </c>
      <c r="X18" s="6">
        <v>6000</v>
      </c>
      <c r="Y18" s="7">
        <f t="shared" si="30"/>
        <v>103200</v>
      </c>
      <c r="Z18" s="7">
        <f t="shared" si="31"/>
        <v>144000</v>
      </c>
      <c r="AA18" s="7">
        <f t="shared" si="32"/>
        <v>22991.5966386555</v>
      </c>
      <c r="AB18" s="7">
        <f t="shared" si="33"/>
        <v>17808.4033613445</v>
      </c>
      <c r="AC18" s="8">
        <f t="shared" si="34"/>
        <v>0.172562048075044</v>
      </c>
    </row>
    <row r="19" customFormat="1" ht="15.5" spans="1:29">
      <c r="A19" s="10" t="s">
        <v>27</v>
      </c>
      <c r="B19" s="5">
        <v>4300</v>
      </c>
      <c r="C19" s="6">
        <v>10000</v>
      </c>
      <c r="D19" s="7">
        <f t="shared" si="0"/>
        <v>4300</v>
      </c>
      <c r="E19" s="7">
        <f t="shared" si="1"/>
        <v>10000</v>
      </c>
      <c r="F19" s="7">
        <f t="shared" si="2"/>
        <v>1596.63865546218</v>
      </c>
      <c r="G19" s="7">
        <f t="shared" si="3"/>
        <v>4103.36134453782</v>
      </c>
      <c r="H19" s="8">
        <f t="shared" si="4"/>
        <v>0.954270080125074</v>
      </c>
      <c r="J19" s="6">
        <v>8000</v>
      </c>
      <c r="K19" s="7">
        <f t="shared" si="20"/>
        <v>25800</v>
      </c>
      <c r="L19" s="7">
        <f t="shared" si="21"/>
        <v>48000</v>
      </c>
      <c r="M19" s="7">
        <f t="shared" si="22"/>
        <v>7663.86554621848</v>
      </c>
      <c r="N19" s="7">
        <f t="shared" si="23"/>
        <v>14536.1344537815</v>
      </c>
      <c r="O19" s="8">
        <f t="shared" si="24"/>
        <v>0.563416064100059</v>
      </c>
      <c r="Q19" s="6">
        <v>7000</v>
      </c>
      <c r="R19" s="7">
        <f t="shared" si="25"/>
        <v>51600</v>
      </c>
      <c r="S19" s="7">
        <f t="shared" si="26"/>
        <v>84000</v>
      </c>
      <c r="T19" s="7">
        <f t="shared" si="27"/>
        <v>13411.7647058823</v>
      </c>
      <c r="U19" s="7">
        <f t="shared" si="28"/>
        <v>18988.2352941177</v>
      </c>
      <c r="V19" s="8">
        <f t="shared" si="29"/>
        <v>0.367989056087551</v>
      </c>
      <c r="X19" s="6">
        <v>6000</v>
      </c>
      <c r="Y19" s="7">
        <f t="shared" si="30"/>
        <v>103200</v>
      </c>
      <c r="Z19" s="7">
        <f t="shared" si="31"/>
        <v>144000</v>
      </c>
      <c r="AA19" s="7">
        <f t="shared" si="32"/>
        <v>22991.5966386555</v>
      </c>
      <c r="AB19" s="7">
        <f t="shared" si="33"/>
        <v>17808.4033613445</v>
      </c>
      <c r="AC19" s="8">
        <f t="shared" si="34"/>
        <v>0.172562048075044</v>
      </c>
    </row>
    <row r="20" spans="1:29">
      <c r="A20" s="12"/>
      <c r="B20" s="12"/>
      <c r="C20" s="12"/>
      <c r="D20" s="12"/>
      <c r="E20" s="12"/>
      <c r="F20" s="12"/>
      <c r="G20" s="12"/>
      <c r="H20" s="12"/>
      <c r="I20" s="12"/>
      <c r="J20" s="12"/>
    </row>
  </sheetData>
  <mergeCells count="8">
    <mergeCell ref="A1:AC1"/>
    <mergeCell ref="C3:H3"/>
    <mergeCell ref="J3:O3"/>
    <mergeCell ref="Q3:V3"/>
    <mergeCell ref="X3:AC3"/>
    <mergeCell ref="A20:J20"/>
    <mergeCell ref="A3:A4"/>
    <mergeCell ref="B3:B4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Precios ceras v3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carol</cp:lastModifiedBy>
  <cp:revision>0</cp:revision>
  <dcterms:created xsi:type="dcterms:W3CDTF">2026-07-16T04:38:00Z</dcterms:created>
  <dcterms:modified xsi:type="dcterms:W3CDTF">2026-07-16T19:39:56Z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9EB8096440074CF4B43C3120A9667DB4_13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